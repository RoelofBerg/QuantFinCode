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60" yWindow="270" windowWidth="18795" windowHeight="1176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D16" i="1" l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B5" i="1"/>
  <c r="B6" i="1"/>
  <c r="B7" i="1"/>
  <c r="B4" i="1"/>
  <c r="B23" i="1"/>
  <c r="F18" i="1"/>
  <c r="G22" i="1"/>
  <c r="E16" i="1"/>
  <c r="G23" i="1"/>
  <c r="F16" i="1"/>
  <c r="G17" i="1"/>
  <c r="G4" i="1" a="1"/>
  <c r="F22" i="1"/>
  <c r="F17" i="1"/>
  <c r="E17" i="1"/>
  <c r="E19" i="1"/>
  <c r="G15" i="1"/>
  <c r="F19" i="1"/>
  <c r="B20" i="1"/>
  <c r="F21" i="1"/>
  <c r="E22" i="1"/>
  <c r="E23" i="1"/>
  <c r="E4" i="1" a="1"/>
  <c r="G19" i="1"/>
  <c r="F20" i="1"/>
  <c r="G16" i="1"/>
  <c r="G18" i="1"/>
  <c r="E20" i="1"/>
  <c r="G20" i="1"/>
  <c r="E9" i="1" a="1"/>
  <c r="E21" i="1"/>
  <c r="E18" i="1"/>
  <c r="E15" i="1"/>
  <c r="F23" i="1"/>
  <c r="F15" i="1"/>
  <c r="G21" i="1"/>
  <c r="G5" i="1" l="1"/>
  <c r="G7" i="1"/>
  <c r="G4" i="1"/>
  <c r="G6" i="1"/>
  <c r="E4" i="1"/>
  <c r="F4" i="1" s="1"/>
  <c r="E7" i="1"/>
  <c r="F7" i="1" s="1"/>
  <c r="E5" i="1"/>
  <c r="F5" i="1" s="1"/>
  <c r="E6" i="1"/>
  <c r="F6" i="1" s="1"/>
  <c r="E9" i="1"/>
  <c r="E10" i="1"/>
  <c r="I3" i="1" a="1"/>
  <c r="I3" i="1"/>
  <c r="I4" i="1"/>
  <c r="I5" i="1"/>
  <c r="I6" i="1"/>
  <c r="I7" i="1"/>
</calcChain>
</file>

<file path=xl/sharedStrings.xml><?xml version="1.0" encoding="utf-8"?>
<sst xmlns="http://schemas.openxmlformats.org/spreadsheetml/2006/main" count="25" uniqueCount="22">
  <si>
    <t>S</t>
  </si>
  <si>
    <t>K</t>
  </si>
  <si>
    <t>r</t>
  </si>
  <si>
    <t>T</t>
  </si>
  <si>
    <t>sigma</t>
  </si>
  <si>
    <t>Call/Put</t>
  </si>
  <si>
    <t>Option price</t>
  </si>
  <si>
    <t>Binomial call</t>
  </si>
  <si>
    <t>N</t>
  </si>
  <si>
    <t>Call</t>
  </si>
  <si>
    <t>Puts</t>
  </si>
  <si>
    <t>European</t>
  </si>
  <si>
    <t>American</t>
  </si>
  <si>
    <t>Term structures</t>
  </si>
  <si>
    <t>Flat interest rate</t>
  </si>
  <si>
    <t>Time</t>
  </si>
  <si>
    <t>Discount factor</t>
  </si>
  <si>
    <t>Interpolated discount factors</t>
  </si>
  <si>
    <t>Option pricing</t>
  </si>
  <si>
    <t>DLL called via VBA</t>
  </si>
  <si>
    <t>Via ESLogLinearMatrix()</t>
  </si>
  <si>
    <t>Example of bad call of ESLogLinear()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</si>
</sst>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9C000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8" borderId="0" applyNumberFormat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0" fillId="0" borderId="1" xfId="0" applyBorder="1"/>
    <xf numFmtId="0" fontId="0" fillId="0" borderId="0" xfId="0" applyBorder="1"/>
    <xf numFmtId="0" fontId="1" fillId="0" borderId="0" xfId="0" applyFont="1"/>
    <xf numFmtId="9" fontId="0" fillId="0" borderId="1" xfId="0" applyNumberFormat="1" applyBorder="1"/>
    <xf numFmtId="0" fontId="2" fillId="6" borderId="2" xfId="0" applyFont="1" applyFill="1" applyBorder="1"/>
    <xf numFmtId="0" fontId="0" fillId="7" borderId="0" xfId="0" applyFill="1"/>
    <xf numFmtId="0" fontId="4" fillId="8" borderId="0" xfId="1"/>
    <xf numFmtId="0" fontId="2" fillId="9" borderId="0" xfId="1" applyFont="1" applyFill="1"/>
    <xf numFmtId="0" fontId="2" fillId="6" borderId="2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2">
    <cellStyle name="Bad" xfId="1" builtinId="27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6"/>
  <sheetViews>
    <sheetView tabSelected="1" workbookViewId="0">
      <selection activeCell="B24" sqref="B24"/>
    </sheetView>
  </sheetViews>
  <sheetFormatPr defaultRowHeight="15" x14ac:dyDescent="0.25"/>
  <cols>
    <col min="1" max="1" width="15.85546875" bestFit="1" customWidth="1"/>
    <col min="2" max="2" width="14.42578125" bestFit="1" customWidth="1"/>
    <col min="5" max="5" width="14.42578125" bestFit="1" customWidth="1"/>
    <col min="7" max="7" width="22.28515625" bestFit="1" customWidth="1"/>
    <col min="9" max="9" width="58" bestFit="1" customWidth="1"/>
  </cols>
  <sheetData>
    <row r="1" spans="1:9" ht="21" x14ac:dyDescent="0.35">
      <c r="A1" s="1" t="s">
        <v>13</v>
      </c>
    </row>
    <row r="2" spans="1:9" x14ac:dyDescent="0.25">
      <c r="A2" s="2" t="s">
        <v>14</v>
      </c>
      <c r="B2" s="2">
        <v>0.05</v>
      </c>
      <c r="D2" s="14" t="s">
        <v>17</v>
      </c>
      <c r="E2" s="14"/>
      <c r="F2" s="14"/>
      <c r="G2" s="14"/>
      <c r="I2" s="12" t="s">
        <v>21</v>
      </c>
    </row>
    <row r="3" spans="1:9" x14ac:dyDescent="0.25">
      <c r="A3" s="3" t="s">
        <v>15</v>
      </c>
      <c r="B3" s="4" t="s">
        <v>16</v>
      </c>
      <c r="D3" s="3" t="s">
        <v>15</v>
      </c>
      <c r="E3" s="4" t="s">
        <v>16</v>
      </c>
      <c r="G3" s="4" t="s">
        <v>20</v>
      </c>
      <c r="I3" s="11" t="str">
        <f t="array" ref="I3:I7">_xll.ESLogLinear(D4:D6,E4:E7,D9:D10)</f>
        <v>Timeline and discount factor arrays must have same dimension</v>
      </c>
    </row>
    <row r="4" spans="1:9" x14ac:dyDescent="0.25">
      <c r="A4" s="5">
        <v>0</v>
      </c>
      <c r="B4" s="5">
        <f>EXP(-A4*$B$2)</f>
        <v>1</v>
      </c>
      <c r="D4" s="5">
        <v>0.5</v>
      </c>
      <c r="E4" s="5">
        <f t="array" ref="E4:E7">_xll.ESLogLinear(A4:A7,B4:B7,D4:D7)</f>
        <v>0.97530991202833262</v>
      </c>
      <c r="F4" s="5">
        <f>LN(E4)/D4</f>
        <v>-5.0000000000000107E-2</v>
      </c>
      <c r="G4" s="5">
        <f t="array" ref="G4:G7">_xll.ESLogLinearMatrix(A4:B7,D4:D7)</f>
        <v>0.97530991202833262</v>
      </c>
      <c r="I4" s="11" t="str">
        <v>Timeline and discount factor arrays must have same dimension</v>
      </c>
    </row>
    <row r="5" spans="1:9" x14ac:dyDescent="0.25">
      <c r="A5" s="5">
        <v>2</v>
      </c>
      <c r="B5" s="5">
        <f t="shared" ref="B5:B7" si="0">EXP(-A5*$B$2)</f>
        <v>0.90483741803595952</v>
      </c>
      <c r="D5" s="5">
        <v>1.5</v>
      </c>
      <c r="E5" s="5">
        <v>0.92774348632855286</v>
      </c>
      <c r="F5" s="5">
        <f t="shared" ref="F5:F7" si="1">LN(E5)/D5</f>
        <v>-5.0000000000000024E-2</v>
      </c>
      <c r="G5" s="5">
        <v>0.92774348632855286</v>
      </c>
      <c r="I5" s="11" t="str">
        <v>Timeline and discount factor arrays must have same dimension</v>
      </c>
    </row>
    <row r="6" spans="1:9" x14ac:dyDescent="0.25">
      <c r="A6" s="5">
        <v>5</v>
      </c>
      <c r="B6" s="5">
        <f t="shared" si="0"/>
        <v>0.77880078307140488</v>
      </c>
      <c r="D6" s="5">
        <v>6</v>
      </c>
      <c r="E6" s="5">
        <v>0.74081822068171788</v>
      </c>
      <c r="F6" s="5">
        <f t="shared" si="1"/>
        <v>-4.9999999999999996E-2</v>
      </c>
      <c r="G6" s="5">
        <v>0.74081822068171788</v>
      </c>
      <c r="I6" s="11" t="str">
        <v>Timeline and discount factor arrays must have same dimension</v>
      </c>
    </row>
    <row r="7" spans="1:9" x14ac:dyDescent="0.25">
      <c r="A7" s="5">
        <v>30</v>
      </c>
      <c r="B7" s="5">
        <f t="shared" si="0"/>
        <v>0.22313016014842982</v>
      </c>
      <c r="D7" s="5">
        <v>10</v>
      </c>
      <c r="E7" s="5">
        <v>0.60653065971263342</v>
      </c>
      <c r="F7" s="5">
        <f t="shared" si="1"/>
        <v>-0.05</v>
      </c>
      <c r="G7" s="5">
        <v>0.60653065971263342</v>
      </c>
      <c r="I7" s="11" t="str">
        <v>Timeline and discount factor arrays must have same dimension</v>
      </c>
    </row>
    <row r="9" spans="1:9" x14ac:dyDescent="0.25">
      <c r="D9" s="5">
        <v>9</v>
      </c>
      <c r="E9" s="5">
        <f t="array" ref="E9:E10">_xll.ESLogLinear(A4:A7,B4:B7,D9:D10)</f>
        <v>0.63762815162177322</v>
      </c>
    </row>
    <row r="10" spans="1:9" x14ac:dyDescent="0.25">
      <c r="D10" s="5">
        <v>14</v>
      </c>
      <c r="E10" s="5">
        <v>0.49658530379140953</v>
      </c>
    </row>
    <row r="11" spans="1:9" x14ac:dyDescent="0.25">
      <c r="D11" s="6"/>
      <c r="E11" s="6"/>
    </row>
    <row r="12" spans="1:9" ht="21" x14ac:dyDescent="0.35">
      <c r="A12" s="1" t="s">
        <v>18</v>
      </c>
    </row>
    <row r="13" spans="1:9" x14ac:dyDescent="0.25">
      <c r="A13" s="5" t="s">
        <v>0</v>
      </c>
      <c r="B13" s="5">
        <v>100</v>
      </c>
      <c r="D13" s="13" t="s">
        <v>7</v>
      </c>
      <c r="E13" s="13"/>
      <c r="F13" s="9" t="s">
        <v>10</v>
      </c>
    </row>
    <row r="14" spans="1:9" x14ac:dyDescent="0.25">
      <c r="A14" s="5" t="s">
        <v>1</v>
      </c>
      <c r="B14" s="5">
        <v>98</v>
      </c>
      <c r="D14" s="5" t="s">
        <v>8</v>
      </c>
      <c r="E14" s="5" t="s">
        <v>9</v>
      </c>
      <c r="F14" s="5" t="s">
        <v>11</v>
      </c>
      <c r="G14" s="5" t="s">
        <v>12</v>
      </c>
    </row>
    <row r="15" spans="1:9" x14ac:dyDescent="0.25">
      <c r="A15" s="5" t="s">
        <v>2</v>
      </c>
      <c r="B15" s="8">
        <v>0.05</v>
      </c>
      <c r="D15" s="5">
        <v>10</v>
      </c>
      <c r="E15" s="5">
        <f>_xll.ESCoxRossRubinstein($B$13,$B$14,$B$17,$B$15,$B$16,$B$18,$D15)</f>
        <v>15.138595799291288</v>
      </c>
      <c r="F15" s="5">
        <f>_xll.ESCoxRossRubinstein($B$13,$B$14,$B$17,$B$15,$B$16,-1,$D15)</f>
        <v>8.3590794003614484</v>
      </c>
      <c r="G15" s="5">
        <f>_xll.ESCoxRossRubinsteinAmerican($B$13,$B$14,$B$17,$B$15,$B$16,$D15)</f>
        <v>8.8098484018529746</v>
      </c>
    </row>
    <row r="16" spans="1:9" x14ac:dyDescent="0.25">
      <c r="A16" s="5" t="s">
        <v>3</v>
      </c>
      <c r="B16" s="5">
        <v>1</v>
      </c>
      <c r="D16" s="5">
        <f>D15*2</f>
        <v>20</v>
      </c>
      <c r="E16" s="5">
        <f>_xll.ESCoxRossRubinstein($B$13,$B$14,$B$17,$B$15,$B$16,$B$18,$D16)</f>
        <v>15.216330719336279</v>
      </c>
      <c r="F16" s="5">
        <f>_xll.ESCoxRossRubinstein($B$13,$B$14,$B$17,$B$15,$B$16,-1,$D16)</f>
        <v>8.4368143204060786</v>
      </c>
      <c r="G16" s="5">
        <f>_xll.ESCoxRossRubinsteinAmerican($B$13,$B$14,$B$17,$B$15,$B$16,$D16)</f>
        <v>8.8819137549359688</v>
      </c>
    </row>
    <row r="17" spans="1:7" x14ac:dyDescent="0.25">
      <c r="A17" s="5" t="s">
        <v>4</v>
      </c>
      <c r="B17" s="8">
        <v>0.3</v>
      </c>
      <c r="D17" s="5">
        <f t="shared" ref="D17:D25" si="2">D16*2</f>
        <v>40</v>
      </c>
      <c r="E17" s="5">
        <f>_xll.ESCoxRossRubinstein($B$13,$B$14,$B$17,$B$15,$B$16,$B$18,$D17)</f>
        <v>15.24093029497709</v>
      </c>
      <c r="F17" s="5">
        <f>_xll.ESCoxRossRubinstein($B$13,$B$14,$B$17,$B$15,$B$16,-1,$D17)</f>
        <v>8.4614138960467002</v>
      </c>
      <c r="G17" s="5">
        <f>_xll.ESCoxRossRubinsteinAmerican($B$13,$B$14,$B$17,$B$15,$B$16,$D17)</f>
        <v>8.9060759029119705</v>
      </c>
    </row>
    <row r="18" spans="1:7" x14ac:dyDescent="0.25">
      <c r="A18" s="5" t="s">
        <v>5</v>
      </c>
      <c r="B18" s="5">
        <v>1</v>
      </c>
      <c r="D18" s="5">
        <f t="shared" si="2"/>
        <v>80</v>
      </c>
      <c r="E18" s="5">
        <f>_xll.ESCoxRossRubinstein($B$13,$B$14,$B$17,$B$15,$B$16,$B$18,$D18)</f>
        <v>15.242930781346681</v>
      </c>
      <c r="F18" s="5">
        <f>_xll.ESCoxRossRubinstein($B$13,$B$14,$B$17,$B$15,$B$16,-1,$D18)</f>
        <v>8.4634143824175361</v>
      </c>
      <c r="G18" s="5">
        <f>_xll.ESCoxRossRubinsteinAmerican($B$13,$B$14,$B$17,$B$15,$B$16,$D18)</f>
        <v>8.9095568391465427</v>
      </c>
    </row>
    <row r="19" spans="1:7" x14ac:dyDescent="0.25">
      <c r="D19" s="5">
        <f t="shared" si="2"/>
        <v>160</v>
      </c>
      <c r="E19" s="5">
        <f>_xll.ESCoxRossRubinstein($B$13,$B$14,$B$17,$B$15,$B$16,$B$18,$D19)</f>
        <v>15.236627677951121</v>
      </c>
      <c r="F19" s="5">
        <f>_xll.ESCoxRossRubinstein($B$13,$B$14,$B$17,$B$15,$B$16,-1,$D19)</f>
        <v>8.4571112790206833</v>
      </c>
      <c r="G19" s="5">
        <f>_xll.ESCoxRossRubinsteinAmerican($B$13,$B$14,$B$17,$B$15,$B$16,$D19)</f>
        <v>8.9047386031025795</v>
      </c>
    </row>
    <row r="20" spans="1:7" x14ac:dyDescent="0.25">
      <c r="A20" s="2" t="s">
        <v>6</v>
      </c>
      <c r="B20" s="2">
        <f>_xll.ESBlackScholes(B13,B14,B17,B15,B16,B18)</f>
        <v>15.220579922799864</v>
      </c>
      <c r="D20" s="5">
        <f t="shared" si="2"/>
        <v>320</v>
      </c>
      <c r="E20" s="5">
        <f>_xll.ESCoxRossRubinstein($B$13,$B$14,$B$17,$B$15,$B$16,$B$18,$D20)</f>
        <v>15.228315568006046</v>
      </c>
      <c r="F20" s="5">
        <f>_xll.ESCoxRossRubinstein($B$13,$B$14,$B$17,$B$15,$B$16,-1,$D20)</f>
        <v>8.4487991690706501</v>
      </c>
      <c r="G20" s="5">
        <f>_xll.ESCoxRossRubinsteinAmerican($B$13,$B$14,$B$17,$B$15,$B$16,$D20)</f>
        <v>8.8977922478169376</v>
      </c>
    </row>
    <row r="21" spans="1:7" x14ac:dyDescent="0.25">
      <c r="D21" s="5">
        <f t="shared" si="2"/>
        <v>640</v>
      </c>
      <c r="E21" s="5">
        <f>_xll.ESCoxRossRubinstein($B$13,$B$14,$B$17,$B$15,$B$16,$B$18,$D21)</f>
        <v>15.220514165236031</v>
      </c>
      <c r="F21" s="5">
        <f>_xll.ESCoxRossRubinstein($B$13,$B$14,$B$17,$B$15,$B$16,-1,$D21)</f>
        <v>8.4409977662969293</v>
      </c>
      <c r="G21" s="5">
        <f>_xll.ESCoxRossRubinsteinAmerican($B$13,$B$14,$B$17,$B$15,$B$16,$D21)</f>
        <v>8.8911854909640962</v>
      </c>
    </row>
    <row r="22" spans="1:7" x14ac:dyDescent="0.25">
      <c r="A22" s="7" t="s">
        <v>19</v>
      </c>
      <c r="D22" s="5">
        <f t="shared" si="2"/>
        <v>1280</v>
      </c>
      <c r="E22" s="5">
        <f>_xll.ESCoxRossRubinstein($B$13,$B$14,$B$17,$B$15,$B$16,$B$18,$D22)</f>
        <v>15.221165173113008</v>
      </c>
      <c r="F22" s="5">
        <f>_xll.ESCoxRossRubinstein($B$13,$B$14,$B$17,$B$15,$B$16,-1,$D22)</f>
        <v>8.441648774171254</v>
      </c>
      <c r="G22" s="5">
        <f>_xll.ESCoxRossRubinsteinAmerican($B$13,$B$14,$B$17,$B$15,$B$16,$D22)</f>
        <v>8.8908473288263359</v>
      </c>
    </row>
    <row r="23" spans="1:7" x14ac:dyDescent="0.25">
      <c r="A23" s="10" t="s">
        <v>6</v>
      </c>
      <c r="B23" s="10">
        <f>ESBlackScholesViaVBA(B13,B14,B17,B15,B16,B18)</f>
        <v>15.220579922799864</v>
      </c>
      <c r="D23" s="5">
        <f t="shared" si="2"/>
        <v>2560</v>
      </c>
      <c r="E23" s="5">
        <f>_xll.ESCoxRossRubinstein($B$13,$B$14,$B$17,$B$15,$B$16,$B$18,$D23)</f>
        <v>15.221275907823534</v>
      </c>
      <c r="F23" s="5">
        <f>_xll.ESCoxRossRubinstein($B$13,$B$14,$B$17,$B$15,$B$16,-1,$D23)</f>
        <v>8.4417595089055908</v>
      </c>
      <c r="G23" s="5">
        <f>_xll.ESCoxRossRubinsteinAmerican($B$13,$B$14,$B$17,$B$15,$B$16,$D23)</f>
        <v>8.8908438421419387</v>
      </c>
    </row>
    <row r="24" spans="1:7" x14ac:dyDescent="0.25">
      <c r="D24" s="5">
        <f t="shared" si="2"/>
        <v>5120</v>
      </c>
      <c r="E24" s="5"/>
      <c r="F24" s="5"/>
      <c r="G24" s="5"/>
    </row>
    <row r="25" spans="1:7" x14ac:dyDescent="0.25">
      <c r="D25" s="5">
        <f t="shared" si="2"/>
        <v>10240</v>
      </c>
      <c r="E25" s="5"/>
      <c r="F25" s="5"/>
      <c r="G25" s="5"/>
    </row>
    <row r="26" spans="1:7" x14ac:dyDescent="0.25">
      <c r="D26" s="5">
        <f t="shared" ref="D26" si="3">D25*2</f>
        <v>20480</v>
      </c>
      <c r="E26" s="5"/>
      <c r="F26" s="5"/>
      <c r="G26" s="5"/>
    </row>
  </sheetData>
  <mergeCells count="2">
    <mergeCell ref="D13:E13"/>
    <mergeCell ref="D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eriks</dc:creator>
  <cp:lastModifiedBy>Erik</cp:lastModifiedBy>
  <dcterms:created xsi:type="dcterms:W3CDTF">2010-05-14T01:39:49Z</dcterms:created>
  <dcterms:modified xsi:type="dcterms:W3CDTF">2014-02-07T01:26:23Z</dcterms:modified>
</cp:coreProperties>
</file>